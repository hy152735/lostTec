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kuniy\Downloads\"/>
    </mc:Choice>
  </mc:AlternateContent>
  <xr:revisionPtr revIDLastSave="0" documentId="13_ncr:1_{52316081-F392-4743-A333-E21D208CFB0C}" xr6:coauthVersionLast="47" xr6:coauthVersionMax="47" xr10:uidLastSave="{00000000-0000-0000-0000-000000000000}"/>
  <workbookProtection lockStructure="1"/>
  <bookViews>
    <workbookView xWindow="-110" yWindow="-110" windowWidth="19420" windowHeight="10420" xr2:uid="{ED8AFC75-0EF7-44AB-82C0-C6A051D9EACA}"/>
  </bookViews>
  <sheets>
    <sheet name="TOTAL" sheetId="1" r:id="rId1"/>
    <sheet name="ヨンマ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" l="1"/>
  <c r="G4" i="2"/>
  <c r="G2" i="2" s="1"/>
  <c r="F5" i="2"/>
  <c r="F4" i="2"/>
  <c r="F2" i="2" s="1"/>
  <c r="E5" i="2"/>
  <c r="E4" i="2"/>
  <c r="E2" i="2" s="1"/>
  <c r="D5" i="2"/>
  <c r="B5" i="2" s="1"/>
  <c r="D4" i="2"/>
  <c r="D2" i="2" s="1"/>
  <c r="C5" i="2"/>
  <c r="C4" i="2"/>
  <c r="C2" i="2" s="1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3" i="2"/>
  <c r="G18" i="1"/>
  <c r="F18" i="1"/>
  <c r="E18" i="1"/>
  <c r="D18" i="1"/>
  <c r="C18" i="1"/>
  <c r="C13" i="1"/>
  <c r="B13" i="1" s="1"/>
  <c r="C11" i="1"/>
  <c r="B11" i="1" s="1"/>
  <c r="B22" i="1"/>
  <c r="B17" i="1"/>
  <c r="B16" i="1"/>
  <c r="B15" i="1"/>
  <c r="B12" i="1"/>
  <c r="B10" i="1"/>
  <c r="B5" i="1"/>
  <c r="G3" i="1"/>
  <c r="F3" i="1"/>
  <c r="E3" i="1"/>
  <c r="D3" i="1"/>
  <c r="C3" i="1"/>
  <c r="B2" i="2" l="1"/>
  <c r="B4" i="2"/>
  <c r="D14" i="1"/>
  <c r="E14" i="1"/>
  <c r="F14" i="1"/>
  <c r="G14" i="1"/>
  <c r="G2" i="1"/>
  <c r="C20" i="1"/>
  <c r="B20" i="1" s="1"/>
  <c r="F2" i="1"/>
  <c r="C14" i="1"/>
  <c r="E2" i="1"/>
  <c r="D2" i="1"/>
  <c r="C2" i="1"/>
  <c r="B3" i="1"/>
  <c r="B18" i="1"/>
  <c r="B14" i="1" l="1"/>
  <c r="G8" i="1"/>
  <c r="G7" i="1"/>
  <c r="G6" i="1"/>
  <c r="G9" i="1" s="1"/>
  <c r="G19" i="1" s="1"/>
  <c r="G21" i="1" s="1"/>
  <c r="F8" i="1"/>
  <c r="F7" i="1"/>
  <c r="F6" i="1"/>
  <c r="F9" i="1" s="1"/>
  <c r="F19" i="1" s="1"/>
  <c r="F21" i="1" s="1"/>
  <c r="E8" i="1"/>
  <c r="E7" i="1"/>
  <c r="E6" i="1"/>
  <c r="E9" i="1" s="1"/>
  <c r="E19" i="1" s="1"/>
  <c r="E21" i="1" s="1"/>
  <c r="D7" i="1"/>
  <c r="D6" i="1"/>
  <c r="D9" i="1" s="1"/>
  <c r="D19" i="1" s="1"/>
  <c r="D21" i="1" s="1"/>
  <c r="D8" i="1"/>
  <c r="C8" i="1"/>
  <c r="B2" i="1"/>
  <c r="C7" i="1"/>
  <c r="C6" i="1"/>
  <c r="B8" i="1" l="1"/>
  <c r="B6" i="1"/>
  <c r="B7" i="1"/>
  <c r="C9" i="1"/>
  <c r="C19" i="1" s="1"/>
  <c r="B9" i="1" l="1"/>
  <c r="C21" i="1"/>
  <c r="B21" i="1" s="1"/>
  <c r="B19" i="1"/>
</calcChain>
</file>

<file path=xl/sharedStrings.xml><?xml version="1.0" encoding="utf-8"?>
<sst xmlns="http://schemas.openxmlformats.org/spreadsheetml/2006/main" count="42" uniqueCount="37">
  <si>
    <t>名前</t>
    <rPh sb="0" eb="2">
      <t>ナマエ</t>
    </rPh>
    <phoneticPr fontId="2"/>
  </si>
  <si>
    <r>
      <t>成績</t>
    </r>
    <r>
      <rPr>
        <sz val="6"/>
        <color theme="1"/>
        <rFont val="游ゴシック"/>
        <family val="3"/>
        <charset val="128"/>
        <scheme val="minor"/>
      </rPr>
      <t>（場代、立替え等除く）</t>
    </r>
    <rPh sb="0" eb="2">
      <t>セイセキ</t>
    </rPh>
    <rPh sb="3" eb="4">
      <t>バ</t>
    </rPh>
    <rPh sb="4" eb="5">
      <t>ダイ</t>
    </rPh>
    <rPh sb="6" eb="8">
      <t>タテカ</t>
    </rPh>
    <rPh sb="9" eb="10">
      <t>トウ</t>
    </rPh>
    <rPh sb="10" eb="11">
      <t>ノゾ</t>
    </rPh>
    <phoneticPr fontId="2"/>
  </si>
  <si>
    <t>空行</t>
    <rPh sb="0" eb="2">
      <t>クウギョウ</t>
    </rPh>
    <phoneticPr fontId="2"/>
  </si>
  <si>
    <t>上限負け額　マイナスで記載</t>
    <rPh sb="0" eb="2">
      <t>ジョウゲン</t>
    </rPh>
    <rPh sb="2" eb="3">
      <t>マ</t>
    </rPh>
    <rPh sb="4" eb="5">
      <t>ガク</t>
    </rPh>
    <rPh sb="11" eb="13">
      <t>キサイ</t>
    </rPh>
    <phoneticPr fontId="2"/>
  </si>
  <si>
    <t>上限負け額を超えた額</t>
    <rPh sb="0" eb="2">
      <t>ジョウゲン</t>
    </rPh>
    <rPh sb="2" eb="3">
      <t>マ</t>
    </rPh>
    <rPh sb="4" eb="5">
      <t>ガク</t>
    </rPh>
    <rPh sb="6" eb="7">
      <t>コ</t>
    </rPh>
    <rPh sb="9" eb="10">
      <t>ガク</t>
    </rPh>
    <phoneticPr fontId="2"/>
  </si>
  <si>
    <t>勝ち額</t>
    <rPh sb="0" eb="1">
      <t>カ</t>
    </rPh>
    <rPh sb="2" eb="3">
      <t>ガク</t>
    </rPh>
    <phoneticPr fontId="2"/>
  </si>
  <si>
    <t>勝ち分控除額</t>
    <rPh sb="0" eb="1">
      <t>カ</t>
    </rPh>
    <rPh sb="2" eb="3">
      <t>ブン</t>
    </rPh>
    <rPh sb="3" eb="5">
      <t>コウジョ</t>
    </rPh>
    <rPh sb="5" eb="6">
      <t>ガク</t>
    </rPh>
    <phoneticPr fontId="2"/>
  </si>
  <si>
    <t>調整後の額</t>
    <rPh sb="0" eb="3">
      <t>チョウセイゴ</t>
    </rPh>
    <rPh sb="4" eb="5">
      <t>ガク</t>
    </rPh>
    <phoneticPr fontId="2"/>
  </si>
  <si>
    <r>
      <t>場代（合計）</t>
    </r>
    <r>
      <rPr>
        <sz val="8"/>
        <color theme="1"/>
        <rFont val="游ゴシック"/>
        <family val="3"/>
        <charset val="128"/>
        <scheme val="minor"/>
      </rPr>
      <t>プラスで記載</t>
    </r>
    <rPh sb="0" eb="1">
      <t>バ</t>
    </rPh>
    <rPh sb="1" eb="2">
      <t>ダイ</t>
    </rPh>
    <rPh sb="3" eb="5">
      <t>ゴウケイ</t>
    </rPh>
    <rPh sb="10" eb="12">
      <t>キサイ</t>
    </rPh>
    <phoneticPr fontId="2"/>
  </si>
  <si>
    <t>参加者数</t>
    <rPh sb="0" eb="2">
      <t>サンカ</t>
    </rPh>
    <rPh sb="2" eb="3">
      <t>シャ</t>
    </rPh>
    <rPh sb="3" eb="4">
      <t>スウ</t>
    </rPh>
    <phoneticPr fontId="2"/>
  </si>
  <si>
    <t>参加時間</t>
    <rPh sb="0" eb="2">
      <t>サンカ</t>
    </rPh>
    <rPh sb="2" eb="4">
      <t>ジカン</t>
    </rPh>
    <phoneticPr fontId="2"/>
  </si>
  <si>
    <t>合計参加時間</t>
    <rPh sb="0" eb="2">
      <t>ゴウケイ</t>
    </rPh>
    <rPh sb="2" eb="4">
      <t>サンカ</t>
    </rPh>
    <rPh sb="4" eb="6">
      <t>ジカン</t>
    </rPh>
    <phoneticPr fontId="2"/>
  </si>
  <si>
    <r>
      <t>場代（一人当たり）</t>
    </r>
    <r>
      <rPr>
        <sz val="8"/>
        <color theme="1"/>
        <rFont val="游ゴシック"/>
        <family val="3"/>
        <charset val="128"/>
        <scheme val="minor"/>
      </rPr>
      <t>プラスで記載</t>
    </r>
    <rPh sb="0" eb="1">
      <t>バ</t>
    </rPh>
    <rPh sb="1" eb="2">
      <t>ダイ</t>
    </rPh>
    <rPh sb="3" eb="5">
      <t>ヒトリ</t>
    </rPh>
    <rPh sb="5" eb="6">
      <t>ア</t>
    </rPh>
    <rPh sb="13" eb="15">
      <t>キサイ</t>
    </rPh>
    <phoneticPr fontId="2"/>
  </si>
  <si>
    <r>
      <t>飯代　</t>
    </r>
    <r>
      <rPr>
        <sz val="8"/>
        <color theme="1"/>
        <rFont val="游ゴシック"/>
        <family val="3"/>
        <charset val="128"/>
        <scheme val="minor"/>
      </rPr>
      <t>プラスで記載</t>
    </r>
    <rPh sb="0" eb="1">
      <t>メシ</t>
    </rPh>
    <rPh sb="1" eb="2">
      <t>ダイ</t>
    </rPh>
    <rPh sb="7" eb="9">
      <t>キサイ</t>
    </rPh>
    <phoneticPr fontId="2"/>
  </si>
  <si>
    <r>
      <t>立替え　</t>
    </r>
    <r>
      <rPr>
        <sz val="8"/>
        <color theme="1"/>
        <rFont val="游ゴシック"/>
        <family val="3"/>
        <charset val="128"/>
        <scheme val="minor"/>
      </rPr>
      <t>プラスで記載</t>
    </r>
    <rPh sb="0" eb="2">
      <t>タテカ</t>
    </rPh>
    <rPh sb="8" eb="10">
      <t>キサイ</t>
    </rPh>
    <phoneticPr fontId="2"/>
  </si>
  <si>
    <r>
      <t>負け分控除　</t>
    </r>
    <r>
      <rPr>
        <sz val="8"/>
        <color theme="1"/>
        <rFont val="游ゴシック"/>
        <family val="3"/>
        <charset val="128"/>
        <scheme val="minor"/>
      </rPr>
      <t>プラスで記載</t>
    </r>
    <rPh sb="0" eb="1">
      <t>マ</t>
    </rPh>
    <rPh sb="2" eb="3">
      <t>ブン</t>
    </rPh>
    <rPh sb="3" eb="5">
      <t>コウジョ</t>
    </rPh>
    <rPh sb="10" eb="12">
      <t>キサイ</t>
    </rPh>
    <phoneticPr fontId="2"/>
  </si>
  <si>
    <r>
      <t>システム開発寄付　</t>
    </r>
    <r>
      <rPr>
        <sz val="8"/>
        <color theme="1"/>
        <rFont val="游ゴシック"/>
        <family val="3"/>
        <charset val="128"/>
        <scheme val="minor"/>
      </rPr>
      <t>プラスで記載</t>
    </r>
    <rPh sb="4" eb="6">
      <t>カイハツ</t>
    </rPh>
    <rPh sb="6" eb="8">
      <t>キフ</t>
    </rPh>
    <rPh sb="13" eb="15">
      <t>キサイ</t>
    </rPh>
    <phoneticPr fontId="2"/>
  </si>
  <si>
    <t>合計</t>
    <rPh sb="0" eb="2">
      <t>ゴウケイ</t>
    </rPh>
    <phoneticPr fontId="2"/>
  </si>
  <si>
    <t>システム開発寄付合計</t>
    <rPh sb="4" eb="6">
      <t>カイハツ</t>
    </rPh>
    <rPh sb="6" eb="8">
      <t>キフ</t>
    </rPh>
    <rPh sb="8" eb="10">
      <t>ゴウケイ</t>
    </rPh>
    <phoneticPr fontId="2"/>
  </si>
  <si>
    <t>精算額++</t>
    <rPh sb="0" eb="3">
      <t>セイサンガク</t>
    </rPh>
    <phoneticPr fontId="2"/>
  </si>
  <si>
    <t>精算額(精算額++の欄の数値を手入力すること）</t>
    <rPh sb="0" eb="3">
      <t>セイサンガク</t>
    </rPh>
    <rPh sb="4" eb="7">
      <t>セイサンガク</t>
    </rPh>
    <rPh sb="10" eb="11">
      <t>ラン</t>
    </rPh>
    <rPh sb="12" eb="14">
      <t>スウチ</t>
    </rPh>
    <rPh sb="15" eb="16">
      <t>テ</t>
    </rPh>
    <rPh sb="16" eb="18">
      <t>ニュウリョク</t>
    </rPh>
    <phoneticPr fontId="2"/>
  </si>
  <si>
    <t>SUM</t>
    <phoneticPr fontId="2"/>
  </si>
  <si>
    <t>妖怪</t>
  </si>
  <si>
    <t>妖怪</t>
    <phoneticPr fontId="2"/>
  </si>
  <si>
    <t>マゾイ</t>
  </si>
  <si>
    <t>仏</t>
  </si>
  <si>
    <t>hsmt</t>
  </si>
  <si>
    <t>UMD</t>
  </si>
  <si>
    <t>ヨンマ</t>
    <phoneticPr fontId="2"/>
  </si>
  <si>
    <t>本日の成績</t>
    <rPh sb="0" eb="2">
      <t>ホンジツ</t>
    </rPh>
    <rPh sb="3" eb="5">
      <t>セイセキ</t>
    </rPh>
    <phoneticPr fontId="2"/>
  </si>
  <si>
    <t>賞金</t>
    <rPh sb="0" eb="2">
      <t>ショウキン</t>
    </rPh>
    <phoneticPr fontId="2"/>
  </si>
  <si>
    <t>点数</t>
    <rPh sb="0" eb="2">
      <t>テンスウ</t>
    </rPh>
    <phoneticPr fontId="2"/>
  </si>
  <si>
    <t>チップ</t>
    <phoneticPr fontId="2"/>
  </si>
  <si>
    <t>仮想チップ単価</t>
    <rPh sb="0" eb="2">
      <t>カソウ</t>
    </rPh>
    <rPh sb="5" eb="7">
      <t>タンカ</t>
    </rPh>
    <phoneticPr fontId="2"/>
  </si>
  <si>
    <t>チップ枚数</t>
    <rPh sb="3" eb="5">
      <t>マイスウ</t>
    </rPh>
    <phoneticPr fontId="2"/>
  </si>
  <si>
    <t>RATE</t>
    <phoneticPr fontId="2"/>
  </si>
  <si>
    <t>CHECK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</si>
</sst>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0" fillId="2" borderId="0" xfId="0" applyFill="1" applyAlignment="1"/>
    <xf numFmtId="0" fontId="0" fillId="3" borderId="0" xfId="0" applyFill="1" applyAlignment="1"/>
    <xf numFmtId="0" fontId="0" fillId="0" borderId="0" xfId="0" applyAlignment="1"/>
    <xf numFmtId="0" fontId="0" fillId="4" borderId="0" xfId="0" applyFill="1" applyAlignment="1"/>
    <xf numFmtId="0" fontId="0" fillId="5" borderId="0" xfId="0" applyFill="1" applyAlignment="1"/>
    <xf numFmtId="0" fontId="0" fillId="6" borderId="0" xfId="0" applyFill="1" applyAlignment="1"/>
    <xf numFmtId="0" fontId="5" fillId="3" borderId="1" xfId="0" applyFont="1" applyFill="1" applyBorder="1" applyAlignment="1"/>
    <xf numFmtId="0" fontId="5" fillId="7" borderId="1" xfId="0" applyFont="1" applyFill="1" applyBorder="1" applyAlignment="1">
      <alignment wrapText="1"/>
    </xf>
    <xf numFmtId="0" fontId="5" fillId="3" borderId="1" xfId="0" applyFont="1" applyFill="1" applyBorder="1" applyAlignment="1">
      <alignment wrapText="1"/>
    </xf>
    <xf numFmtId="0" fontId="5" fillId="7" borderId="1" xfId="0" applyFont="1" applyFill="1" applyBorder="1" applyAlignment="1"/>
    <xf numFmtId="0" fontId="5" fillId="0" borderId="1" xfId="0" applyFont="1" applyBorder="1" applyAlignment="1"/>
    <xf numFmtId="0" fontId="5" fillId="8" borderId="1" xfId="0" applyFont="1" applyFill="1" applyBorder="1" applyAlignment="1"/>
    <xf numFmtId="0" fontId="5" fillId="0" borderId="0" xfId="0" applyFont="1" applyAlignment="1"/>
    <xf numFmtId="0" fontId="5" fillId="0" borderId="1" xfId="0" applyFont="1" applyBorder="1" applyAlignment="1">
      <alignment wrapText="1"/>
    </xf>
    <xf numFmtId="0" fontId="5" fillId="8" borderId="1" xfId="0" applyFont="1" applyFill="1" applyBorder="1" applyAlignment="1">
      <alignment wrapText="1"/>
    </xf>
    <xf numFmtId="0" fontId="5" fillId="0" borderId="0" xfId="0" applyFon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07AB9-FBE3-49FA-A6D1-D00498A530C9}">
  <dimension ref="A1:G22"/>
  <sheetViews>
    <sheetView tabSelected="1" workbookViewId="0">
      <selection activeCell="G1" sqref="G1"/>
    </sheetView>
  </sheetViews>
  <sheetFormatPr defaultRowHeight="18" x14ac:dyDescent="0.55000000000000004"/>
  <cols>
    <col min="1" max="1" width="29" style="1" customWidth="1"/>
    <col min="2" max="2" width="11.08203125" style="1" customWidth="1"/>
    <col min="3" max="3" width="18.75" style="6" customWidth="1"/>
    <col min="4" max="7" width="8.6640625" style="6"/>
  </cols>
  <sheetData>
    <row r="1" spans="1:7" x14ac:dyDescent="0.55000000000000004">
      <c r="A1" s="1" t="s">
        <v>0</v>
      </c>
      <c r="B1" s="1" t="s">
        <v>21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</row>
    <row r="2" spans="1:7" x14ac:dyDescent="0.55000000000000004">
      <c r="A2" s="2" t="s">
        <v>1</v>
      </c>
      <c r="B2" s="2">
        <f ca="1">SUM(C2:AA2)</f>
        <v>0</v>
      </c>
      <c r="C2" s="4">
        <f t="shared" ref="C2:G2" ca="1" si="0">SUM(C3:C4)</f>
        <v>0</v>
      </c>
      <c r="D2" s="4">
        <f t="shared" ca="1" si="0"/>
        <v>0</v>
      </c>
      <c r="E2" s="4">
        <f t="shared" ca="1" si="0"/>
        <v>0</v>
      </c>
      <c r="F2" s="4">
        <f t="shared" ca="1" si="0"/>
        <v>0</v>
      </c>
      <c r="G2" s="4">
        <f t="shared" ca="1" si="0"/>
        <v>0</v>
      </c>
    </row>
    <row r="3" spans="1:7" x14ac:dyDescent="0.55000000000000004">
      <c r="A3" s="3" t="s">
        <v>28</v>
      </c>
      <c r="B3" s="3">
        <f t="shared" ref="B3:B22" ca="1" si="1">SUM(C3:AA3)</f>
        <v>0</v>
      </c>
      <c r="C3" s="5">
        <f ca="1">INDIRECT($A3 &amp;"!C2")</f>
        <v>0</v>
      </c>
      <c r="D3" s="5">
        <f ca="1">INDIRECT($A3 &amp;"!D2")</f>
        <v>0</v>
      </c>
      <c r="E3" s="5">
        <f ca="1">INDIRECT($A3 &amp;"!E2")</f>
        <v>0</v>
      </c>
      <c r="F3" s="5">
        <f ca="1">INDIRECT($A3 &amp;"!F2")</f>
        <v>0</v>
      </c>
      <c r="G3" s="5">
        <f ca="1">INDIRECT($A3 &amp;"!G2")</f>
        <v>0</v>
      </c>
    </row>
    <row r="4" spans="1:7" x14ac:dyDescent="0.55000000000000004">
      <c r="A4" s="1" t="s">
        <v>2</v>
      </c>
    </row>
    <row r="5" spans="1:7" x14ac:dyDescent="0.55000000000000004">
      <c r="A5" s="1" t="s">
        <v>3</v>
      </c>
      <c r="B5" s="1">
        <f t="shared" si="1"/>
        <v>-9999999</v>
      </c>
      <c r="C5" s="7">
        <v>-9999999</v>
      </c>
    </row>
    <row r="6" spans="1:7" x14ac:dyDescent="0.55000000000000004">
      <c r="A6" s="1" t="s">
        <v>4</v>
      </c>
      <c r="B6" s="1">
        <f t="shared" ca="1" si="1"/>
        <v>0</v>
      </c>
      <c r="C6" s="6">
        <f t="shared" ref="C6:G6" ca="1" si="2">IF(C2&lt;$C$5,C2-$C$5,0)</f>
        <v>0</v>
      </c>
      <c r="D6" s="6">
        <f t="shared" ca="1" si="2"/>
        <v>0</v>
      </c>
      <c r="E6" s="6">
        <f t="shared" ca="1" si="2"/>
        <v>0</v>
      </c>
      <c r="F6" s="6">
        <f t="shared" ca="1" si="2"/>
        <v>0</v>
      </c>
      <c r="G6" s="6">
        <f t="shared" ca="1" si="2"/>
        <v>0</v>
      </c>
    </row>
    <row r="7" spans="1:7" x14ac:dyDescent="0.55000000000000004">
      <c r="A7" s="1" t="s">
        <v>5</v>
      </c>
      <c r="B7" s="1">
        <f t="shared" ca="1" si="1"/>
        <v>0</v>
      </c>
      <c r="C7" s="6">
        <f t="shared" ref="C7:G7" ca="1" si="3">IF(C2&gt;0,C2,0)</f>
        <v>0</v>
      </c>
      <c r="D7" s="6">
        <f t="shared" ca="1" si="3"/>
        <v>0</v>
      </c>
      <c r="E7" s="6">
        <f t="shared" ca="1" si="3"/>
        <v>0</v>
      </c>
      <c r="F7" s="6">
        <f t="shared" ca="1" si="3"/>
        <v>0</v>
      </c>
      <c r="G7" s="6">
        <f t="shared" ca="1" si="3"/>
        <v>0</v>
      </c>
    </row>
    <row r="8" spans="1:7" x14ac:dyDescent="0.55000000000000004">
      <c r="A8" s="1" t="s">
        <v>6</v>
      </c>
      <c r="B8" s="1">
        <f t="shared" ca="1" si="1"/>
        <v>0</v>
      </c>
      <c r="C8" s="6">
        <f t="shared" ref="C8:G8" ca="1" si="4">IF(C2&gt;0,SUM($C6:$AA6)*(C7/SUM($C$7:$AA$7)),0)</f>
        <v>0</v>
      </c>
      <c r="D8" s="6">
        <f t="shared" ca="1" si="4"/>
        <v>0</v>
      </c>
      <c r="E8" s="6">
        <f t="shared" ca="1" si="4"/>
        <v>0</v>
      </c>
      <c r="F8" s="6">
        <f t="shared" ca="1" si="4"/>
        <v>0</v>
      </c>
      <c r="G8" s="6">
        <f t="shared" ca="1" si="4"/>
        <v>0</v>
      </c>
    </row>
    <row r="9" spans="1:7" x14ac:dyDescent="0.55000000000000004">
      <c r="A9" s="1" t="s">
        <v>7</v>
      </c>
      <c r="B9" s="1">
        <f t="shared" ca="1" si="1"/>
        <v>0</v>
      </c>
      <c r="C9" s="6">
        <f t="shared" ref="C9:G9" ca="1" si="5">IF(C2&gt;0,C2+C8,C2-C6)</f>
        <v>0</v>
      </c>
      <c r="D9" s="6">
        <f t="shared" ca="1" si="5"/>
        <v>0</v>
      </c>
      <c r="E9" s="6">
        <f t="shared" ca="1" si="5"/>
        <v>0</v>
      </c>
      <c r="F9" s="6">
        <f t="shared" ca="1" si="5"/>
        <v>0</v>
      </c>
      <c r="G9" s="6">
        <f t="shared" ca="1" si="5"/>
        <v>0</v>
      </c>
    </row>
    <row r="10" spans="1:7" x14ac:dyDescent="0.55000000000000004">
      <c r="A10" s="1" t="s">
        <v>8</v>
      </c>
      <c r="B10" s="1">
        <f t="shared" si="1"/>
        <v>0</v>
      </c>
      <c r="C10" s="8"/>
    </row>
    <row r="11" spans="1:7" x14ac:dyDescent="0.55000000000000004">
      <c r="A11" s="1" t="s">
        <v>9</v>
      </c>
      <c r="B11" s="1">
        <f t="shared" si="1"/>
        <v>5</v>
      </c>
      <c r="C11" s="6">
        <f>25-COUNTIF(C1:AA1,"")</f>
        <v>5</v>
      </c>
    </row>
    <row r="12" spans="1:7" x14ac:dyDescent="0.55000000000000004">
      <c r="A12" s="1" t="s">
        <v>10</v>
      </c>
      <c r="B12" s="1">
        <f>SUM(C12:AA12)</f>
        <v>15</v>
      </c>
      <c r="C12" s="9">
        <v>3</v>
      </c>
      <c r="D12" s="9">
        <v>3</v>
      </c>
      <c r="E12" s="9">
        <v>3</v>
      </c>
      <c r="F12" s="9">
        <v>3</v>
      </c>
      <c r="G12" s="9">
        <v>3</v>
      </c>
    </row>
    <row r="13" spans="1:7" x14ac:dyDescent="0.55000000000000004">
      <c r="A13" s="1" t="s">
        <v>11</v>
      </c>
      <c r="B13" s="1">
        <f>SUM(C13:AA13)</f>
        <v>15</v>
      </c>
      <c r="C13" s="6">
        <f>SUM(C12:AA12)</f>
        <v>15</v>
      </c>
    </row>
    <row r="14" spans="1:7" x14ac:dyDescent="0.55000000000000004">
      <c r="A14" s="1" t="s">
        <v>12</v>
      </c>
      <c r="B14" s="1">
        <f t="shared" si="1"/>
        <v>0</v>
      </c>
      <c r="C14" s="6">
        <f>IF(C1&lt;&gt;"",$C$10*C$12/$C$13,0)</f>
        <v>0</v>
      </c>
      <c r="D14" s="6">
        <f t="shared" ref="D14:G14" si="6">IF(D1&lt;&gt;"",$C$10*D$12/$C$13,0)</f>
        <v>0</v>
      </c>
      <c r="E14" s="6">
        <f t="shared" si="6"/>
        <v>0</v>
      </c>
      <c r="F14" s="6">
        <f t="shared" si="6"/>
        <v>0</v>
      </c>
      <c r="G14" s="6">
        <f t="shared" si="6"/>
        <v>0</v>
      </c>
    </row>
    <row r="15" spans="1:7" x14ac:dyDescent="0.55000000000000004">
      <c r="A15" s="1" t="s">
        <v>13</v>
      </c>
      <c r="B15" s="1">
        <f t="shared" si="1"/>
        <v>0</v>
      </c>
      <c r="C15" s="8"/>
      <c r="D15" s="8"/>
      <c r="E15" s="8"/>
      <c r="F15" s="8"/>
      <c r="G15" s="8"/>
    </row>
    <row r="16" spans="1:7" x14ac:dyDescent="0.55000000000000004">
      <c r="A16" s="1" t="s">
        <v>14</v>
      </c>
      <c r="B16" s="1">
        <f t="shared" si="1"/>
        <v>0</v>
      </c>
      <c r="C16" s="8"/>
      <c r="D16" s="8"/>
      <c r="E16" s="8"/>
      <c r="F16" s="8"/>
      <c r="G16" s="8"/>
    </row>
    <row r="17" spans="1:7" x14ac:dyDescent="0.55000000000000004">
      <c r="A17" s="1" t="s">
        <v>15</v>
      </c>
      <c r="B17" s="1">
        <f t="shared" si="1"/>
        <v>0</v>
      </c>
      <c r="C17" s="8"/>
      <c r="D17" s="8"/>
      <c r="E17" s="8"/>
      <c r="F17" s="8"/>
      <c r="G17" s="8"/>
    </row>
    <row r="18" spans="1:7" x14ac:dyDescent="0.55000000000000004">
      <c r="A18" s="1" t="s">
        <v>16</v>
      </c>
      <c r="B18" s="1">
        <f t="shared" si="1"/>
        <v>0</v>
      </c>
      <c r="C18" s="6">
        <f>0</f>
        <v>0</v>
      </c>
      <c r="D18" s="6">
        <f>0</f>
        <v>0</v>
      </c>
      <c r="E18" s="6">
        <f>0</f>
        <v>0</v>
      </c>
      <c r="F18" s="6">
        <f>0</f>
        <v>0</v>
      </c>
      <c r="G18" s="6">
        <f>0</f>
        <v>0</v>
      </c>
    </row>
    <row r="19" spans="1:7" x14ac:dyDescent="0.55000000000000004">
      <c r="A19" s="1" t="s">
        <v>17</v>
      </c>
      <c r="B19" s="1">
        <f t="shared" ca="1" si="1"/>
        <v>0</v>
      </c>
      <c r="C19" s="6">
        <f ca="1">C9-C14-C15+C16+C17-C18</f>
        <v>0</v>
      </c>
      <c r="D19" s="6">
        <f t="shared" ref="D19:G19" ca="1" si="7">D9-D14-D15+D16+D17-D18</f>
        <v>0</v>
      </c>
      <c r="E19" s="6">
        <f t="shared" ca="1" si="7"/>
        <v>0</v>
      </c>
      <c r="F19" s="6">
        <f t="shared" ca="1" si="7"/>
        <v>0</v>
      </c>
      <c r="G19" s="6">
        <f t="shared" ca="1" si="7"/>
        <v>0</v>
      </c>
    </row>
    <row r="20" spans="1:7" x14ac:dyDescent="0.55000000000000004">
      <c r="A20" s="1" t="s">
        <v>18</v>
      </c>
      <c r="B20" s="1">
        <f t="shared" si="1"/>
        <v>0</v>
      </c>
      <c r="C20" s="6">
        <f>SUM(C18:AA18)</f>
        <v>0</v>
      </c>
    </row>
    <row r="21" spans="1:7" x14ac:dyDescent="0.55000000000000004">
      <c r="A21" s="1" t="s">
        <v>19</v>
      </c>
      <c r="B21" s="1">
        <f t="shared" ca="1" si="1"/>
        <v>0</v>
      </c>
      <c r="C21" s="6">
        <f ca="1">C19+C20</f>
        <v>0</v>
      </c>
      <c r="D21" s="6">
        <f ca="1">D19</f>
        <v>0</v>
      </c>
      <c r="E21" s="6">
        <f ca="1">E19</f>
        <v>0</v>
      </c>
      <c r="F21" s="6">
        <f ca="1">F19</f>
        <v>0</v>
      </c>
      <c r="G21" s="6">
        <f t="shared" ref="G21" ca="1" si="8">G19</f>
        <v>0</v>
      </c>
    </row>
    <row r="22" spans="1:7" ht="36" x14ac:dyDescent="0.55000000000000004">
      <c r="A22" s="1" t="s">
        <v>20</v>
      </c>
      <c r="B22" s="1">
        <f t="shared" si="1"/>
        <v>0</v>
      </c>
      <c r="C22" s="8"/>
      <c r="D22" s="8"/>
      <c r="E22" s="8"/>
      <c r="F22" s="8"/>
      <c r="G22" s="8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4369D-B415-4C67-ABF9-BDF75F276E9C}">
  <dimension ref="A1:G59"/>
  <sheetViews>
    <sheetView workbookViewId="0">
      <selection activeCell="G1" sqref="G1:G1048576"/>
    </sheetView>
  </sheetViews>
  <sheetFormatPr defaultRowHeight="18" x14ac:dyDescent="0.55000000000000004"/>
  <cols>
    <col min="1" max="1" width="17" style="16" customWidth="1"/>
    <col min="2" max="2" width="8" style="16" customWidth="1"/>
    <col min="3" max="3" width="12.25" style="19" customWidth="1"/>
    <col min="4" max="7" width="8.6640625" style="16"/>
  </cols>
  <sheetData>
    <row r="1" spans="1:7" x14ac:dyDescent="0.55000000000000004">
      <c r="A1" s="10" t="s">
        <v>0</v>
      </c>
      <c r="B1" s="13" t="s">
        <v>36</v>
      </c>
      <c r="C1" s="11" t="s">
        <v>22</v>
      </c>
      <c r="D1" s="13" t="s">
        <v>24</v>
      </c>
      <c r="E1" s="13" t="s">
        <v>25</v>
      </c>
      <c r="F1" s="13" t="s">
        <v>26</v>
      </c>
      <c r="G1" s="13" t="s">
        <v>27</v>
      </c>
    </row>
    <row r="2" spans="1:7" x14ac:dyDescent="0.55000000000000004">
      <c r="A2" s="11" t="s">
        <v>29</v>
      </c>
      <c r="B2" s="13">
        <f t="shared" ref="B2:B59" si="0">SUM(C2:AA2)</f>
        <v>0</v>
      </c>
      <c r="C2" s="11">
        <f t="shared" ref="C2:G2" si="1">SUM(C3:C5)</f>
        <v>0</v>
      </c>
      <c r="D2" s="11">
        <f t="shared" si="1"/>
        <v>0</v>
      </c>
      <c r="E2" s="11">
        <f t="shared" si="1"/>
        <v>0</v>
      </c>
      <c r="F2" s="11">
        <f t="shared" si="1"/>
        <v>0</v>
      </c>
      <c r="G2" s="11">
        <f t="shared" si="1"/>
        <v>0</v>
      </c>
    </row>
    <row r="3" spans="1:7" x14ac:dyDescent="0.55000000000000004">
      <c r="A3" s="12" t="s">
        <v>30</v>
      </c>
      <c r="B3" s="13">
        <f>SUM(C3:AA3)</f>
        <v>0</v>
      </c>
      <c r="C3" s="17"/>
      <c r="D3" s="17"/>
      <c r="E3" s="14"/>
      <c r="F3" s="14"/>
      <c r="G3" s="14"/>
    </row>
    <row r="4" spans="1:7" x14ac:dyDescent="0.55000000000000004">
      <c r="A4" s="13" t="s">
        <v>31</v>
      </c>
      <c r="B4" s="13">
        <f t="shared" si="0"/>
        <v>0</v>
      </c>
      <c r="C4" s="11">
        <f>SUMPRODUCT($A9:$A59,C9:C59)</f>
        <v>0</v>
      </c>
      <c r="D4" s="11">
        <f t="shared" ref="D4:G4" si="2">SUMPRODUCT($A9:$A59,D9:D59)</f>
        <v>0</v>
      </c>
      <c r="E4" s="11">
        <f t="shared" si="2"/>
        <v>0</v>
      </c>
      <c r="F4" s="11">
        <f t="shared" si="2"/>
        <v>0</v>
      </c>
      <c r="G4" s="11">
        <f t="shared" si="2"/>
        <v>0</v>
      </c>
    </row>
    <row r="5" spans="1:7" x14ac:dyDescent="0.55000000000000004">
      <c r="A5" s="14" t="s">
        <v>32</v>
      </c>
      <c r="B5" s="13">
        <f t="shared" si="0"/>
        <v>0</v>
      </c>
      <c r="C5" s="17">
        <f>$C$6*C7</f>
        <v>0</v>
      </c>
      <c r="D5" s="17">
        <f t="shared" ref="D5:G5" si="3">$C$6*D7</f>
        <v>0</v>
      </c>
      <c r="E5" s="17">
        <f t="shared" si="3"/>
        <v>0</v>
      </c>
      <c r="F5" s="17">
        <f t="shared" si="3"/>
        <v>0</v>
      </c>
      <c r="G5" s="17">
        <f t="shared" si="3"/>
        <v>0</v>
      </c>
    </row>
    <row r="6" spans="1:7" x14ac:dyDescent="0.55000000000000004">
      <c r="A6" s="14" t="s">
        <v>33</v>
      </c>
      <c r="B6" s="13">
        <f t="shared" si="0"/>
        <v>200</v>
      </c>
      <c r="C6" s="17">
        <v>200</v>
      </c>
      <c r="D6" s="14"/>
      <c r="E6" s="14"/>
      <c r="F6" s="14"/>
      <c r="G6" s="14"/>
    </row>
    <row r="7" spans="1:7" x14ac:dyDescent="0.55000000000000004">
      <c r="A7" s="14" t="s">
        <v>34</v>
      </c>
      <c r="B7" s="13">
        <f t="shared" si="0"/>
        <v>0</v>
      </c>
      <c r="C7" s="17"/>
      <c r="D7" s="14"/>
      <c r="E7" s="14"/>
      <c r="F7" s="14"/>
      <c r="G7" s="14"/>
    </row>
    <row r="8" spans="1:7" x14ac:dyDescent="0.55000000000000004">
      <c r="A8" s="13" t="s">
        <v>35</v>
      </c>
      <c r="B8" s="13">
        <f t="shared" si="0"/>
        <v>0</v>
      </c>
      <c r="C8" s="11"/>
      <c r="D8" s="13"/>
      <c r="E8" s="13"/>
      <c r="F8" s="13"/>
      <c r="G8" s="13"/>
    </row>
    <row r="9" spans="1:7" x14ac:dyDescent="0.55000000000000004">
      <c r="A9" s="15">
        <v>50</v>
      </c>
      <c r="B9" s="15">
        <f t="shared" si="0"/>
        <v>0</v>
      </c>
      <c r="C9" s="18"/>
      <c r="D9" s="15"/>
      <c r="E9" s="15"/>
      <c r="F9" s="15"/>
      <c r="G9" s="15"/>
    </row>
    <row r="10" spans="1:7" x14ac:dyDescent="0.55000000000000004">
      <c r="A10" s="15">
        <v>50</v>
      </c>
      <c r="B10" s="15">
        <f t="shared" si="0"/>
        <v>0</v>
      </c>
      <c r="C10" s="18"/>
      <c r="D10" s="15"/>
      <c r="E10" s="15"/>
      <c r="F10" s="15"/>
      <c r="G10" s="15"/>
    </row>
    <row r="11" spans="1:7" x14ac:dyDescent="0.55000000000000004">
      <c r="A11" s="15">
        <v>50</v>
      </c>
      <c r="B11" s="15">
        <f t="shared" si="0"/>
        <v>0</v>
      </c>
      <c r="C11" s="18"/>
      <c r="D11" s="15"/>
      <c r="E11" s="15"/>
      <c r="F11" s="15"/>
      <c r="G11" s="15"/>
    </row>
    <row r="12" spans="1:7" x14ac:dyDescent="0.55000000000000004">
      <c r="A12" s="15">
        <v>50</v>
      </c>
      <c r="B12" s="15">
        <f t="shared" si="0"/>
        <v>0</v>
      </c>
      <c r="C12" s="18"/>
      <c r="D12" s="15"/>
      <c r="E12" s="15"/>
      <c r="F12" s="15"/>
      <c r="G12" s="15"/>
    </row>
    <row r="13" spans="1:7" x14ac:dyDescent="0.55000000000000004">
      <c r="A13" s="10">
        <v>50</v>
      </c>
      <c r="B13" s="13">
        <f t="shared" si="0"/>
        <v>0</v>
      </c>
      <c r="C13" s="17"/>
      <c r="D13" s="14"/>
      <c r="E13" s="14"/>
      <c r="F13" s="14"/>
      <c r="G13" s="14"/>
    </row>
    <row r="14" spans="1:7" x14ac:dyDescent="0.55000000000000004">
      <c r="A14" s="10">
        <v>50</v>
      </c>
      <c r="B14" s="13">
        <f t="shared" si="0"/>
        <v>0</v>
      </c>
      <c r="C14" s="17"/>
      <c r="D14" s="14"/>
      <c r="E14" s="14"/>
      <c r="F14" s="14"/>
      <c r="G14" s="14"/>
    </row>
    <row r="15" spans="1:7" x14ac:dyDescent="0.55000000000000004">
      <c r="A15" s="10">
        <v>50</v>
      </c>
      <c r="B15" s="13">
        <f t="shared" si="0"/>
        <v>0</v>
      </c>
      <c r="C15" s="17"/>
      <c r="D15" s="14"/>
      <c r="E15" s="14"/>
      <c r="F15" s="14"/>
      <c r="G15" s="14"/>
    </row>
    <row r="16" spans="1:7" x14ac:dyDescent="0.55000000000000004">
      <c r="A16" s="10">
        <v>50</v>
      </c>
      <c r="B16" s="13">
        <f t="shared" si="0"/>
        <v>0</v>
      </c>
      <c r="C16" s="17"/>
      <c r="D16" s="14"/>
      <c r="E16" s="14"/>
      <c r="F16" s="14"/>
      <c r="G16" s="14"/>
    </row>
    <row r="17" spans="1:7" x14ac:dyDescent="0.55000000000000004">
      <c r="A17" s="15">
        <v>50</v>
      </c>
      <c r="B17" s="15">
        <f t="shared" si="0"/>
        <v>0</v>
      </c>
      <c r="C17" s="18"/>
      <c r="D17" s="15"/>
      <c r="E17" s="15"/>
      <c r="F17" s="15"/>
      <c r="G17" s="15"/>
    </row>
    <row r="18" spans="1:7" x14ac:dyDescent="0.55000000000000004">
      <c r="A18" s="15">
        <v>50</v>
      </c>
      <c r="B18" s="15">
        <f t="shared" si="0"/>
        <v>0</v>
      </c>
      <c r="C18" s="18"/>
      <c r="D18" s="15"/>
      <c r="E18" s="15"/>
      <c r="F18" s="15"/>
      <c r="G18" s="15"/>
    </row>
    <row r="19" spans="1:7" x14ac:dyDescent="0.55000000000000004">
      <c r="A19" s="15">
        <v>50</v>
      </c>
      <c r="B19" s="15">
        <f t="shared" si="0"/>
        <v>0</v>
      </c>
      <c r="C19" s="18"/>
      <c r="D19" s="15"/>
      <c r="E19" s="15"/>
      <c r="F19" s="15"/>
      <c r="G19" s="15"/>
    </row>
    <row r="20" spans="1:7" x14ac:dyDescent="0.55000000000000004">
      <c r="A20" s="15">
        <v>50</v>
      </c>
      <c r="B20" s="15">
        <f t="shared" si="0"/>
        <v>0</v>
      </c>
      <c r="C20" s="18"/>
      <c r="D20" s="15"/>
      <c r="E20" s="15"/>
      <c r="F20" s="15"/>
      <c r="G20" s="15"/>
    </row>
    <row r="21" spans="1:7" x14ac:dyDescent="0.55000000000000004">
      <c r="A21" s="10">
        <v>50</v>
      </c>
      <c r="B21" s="13">
        <f t="shared" si="0"/>
        <v>0</v>
      </c>
      <c r="C21" s="17"/>
      <c r="D21" s="14"/>
      <c r="E21" s="14"/>
      <c r="F21" s="14"/>
      <c r="G21" s="14"/>
    </row>
    <row r="22" spans="1:7" x14ac:dyDescent="0.55000000000000004">
      <c r="A22" s="10">
        <v>50</v>
      </c>
      <c r="B22" s="13">
        <f t="shared" si="0"/>
        <v>0</v>
      </c>
      <c r="C22" s="17"/>
      <c r="D22" s="14"/>
      <c r="E22" s="14"/>
      <c r="F22" s="14"/>
      <c r="G22" s="14"/>
    </row>
    <row r="23" spans="1:7" x14ac:dyDescent="0.55000000000000004">
      <c r="A23" s="10">
        <v>50</v>
      </c>
      <c r="B23" s="13">
        <f t="shared" si="0"/>
        <v>0</v>
      </c>
      <c r="C23" s="17"/>
      <c r="D23" s="14"/>
      <c r="E23" s="14"/>
      <c r="F23" s="14"/>
      <c r="G23" s="14"/>
    </row>
    <row r="24" spans="1:7" x14ac:dyDescent="0.55000000000000004">
      <c r="A24" s="10">
        <v>50</v>
      </c>
      <c r="B24" s="13">
        <f t="shared" si="0"/>
        <v>0</v>
      </c>
      <c r="C24" s="17"/>
      <c r="D24" s="14"/>
      <c r="E24" s="14"/>
      <c r="F24" s="14"/>
      <c r="G24" s="14"/>
    </row>
    <row r="25" spans="1:7" x14ac:dyDescent="0.55000000000000004">
      <c r="A25" s="15">
        <v>50</v>
      </c>
      <c r="B25" s="15">
        <f t="shared" si="0"/>
        <v>0</v>
      </c>
      <c r="C25" s="18"/>
      <c r="D25" s="15"/>
      <c r="E25" s="15"/>
      <c r="F25" s="15"/>
      <c r="G25" s="15"/>
    </row>
    <row r="26" spans="1:7" x14ac:dyDescent="0.55000000000000004">
      <c r="A26" s="15">
        <v>50</v>
      </c>
      <c r="B26" s="15">
        <f t="shared" si="0"/>
        <v>0</v>
      </c>
      <c r="C26" s="18"/>
      <c r="D26" s="15"/>
      <c r="E26" s="15"/>
      <c r="F26" s="15"/>
      <c r="G26" s="15"/>
    </row>
    <row r="27" spans="1:7" x14ac:dyDescent="0.55000000000000004">
      <c r="A27" s="15">
        <v>50</v>
      </c>
      <c r="B27" s="15">
        <f t="shared" si="0"/>
        <v>0</v>
      </c>
      <c r="C27" s="18"/>
      <c r="D27" s="15"/>
      <c r="E27" s="15"/>
      <c r="F27" s="15"/>
      <c r="G27" s="15"/>
    </row>
    <row r="28" spans="1:7" x14ac:dyDescent="0.55000000000000004">
      <c r="A28" s="15">
        <v>50</v>
      </c>
      <c r="B28" s="15">
        <f t="shared" si="0"/>
        <v>0</v>
      </c>
      <c r="C28" s="18"/>
      <c r="D28" s="15"/>
      <c r="E28" s="15"/>
      <c r="F28" s="15"/>
      <c r="G28" s="15"/>
    </row>
    <row r="29" spans="1:7" x14ac:dyDescent="0.55000000000000004">
      <c r="A29" s="10">
        <v>50</v>
      </c>
      <c r="B29" s="13">
        <f t="shared" si="0"/>
        <v>0</v>
      </c>
      <c r="C29" s="17"/>
      <c r="D29" s="14"/>
      <c r="E29" s="14"/>
      <c r="F29" s="14"/>
      <c r="G29" s="14"/>
    </row>
    <row r="30" spans="1:7" x14ac:dyDescent="0.55000000000000004">
      <c r="A30" s="10">
        <v>50</v>
      </c>
      <c r="B30" s="13">
        <f t="shared" si="0"/>
        <v>0</v>
      </c>
      <c r="C30" s="17"/>
      <c r="D30" s="14"/>
      <c r="E30" s="14"/>
      <c r="F30" s="14"/>
      <c r="G30" s="14"/>
    </row>
    <row r="31" spans="1:7" x14ac:dyDescent="0.55000000000000004">
      <c r="A31" s="10">
        <v>50</v>
      </c>
      <c r="B31" s="13">
        <f t="shared" si="0"/>
        <v>0</v>
      </c>
      <c r="C31" s="17"/>
      <c r="D31" s="14"/>
      <c r="E31" s="14"/>
      <c r="F31" s="14"/>
      <c r="G31" s="14"/>
    </row>
    <row r="32" spans="1:7" x14ac:dyDescent="0.55000000000000004">
      <c r="A32" s="10">
        <v>50</v>
      </c>
      <c r="B32" s="13">
        <f t="shared" si="0"/>
        <v>0</v>
      </c>
      <c r="C32" s="17"/>
      <c r="D32" s="14"/>
      <c r="E32" s="14"/>
      <c r="F32" s="14"/>
      <c r="G32" s="14"/>
    </row>
    <row r="33" spans="1:7" x14ac:dyDescent="0.55000000000000004">
      <c r="A33" s="15">
        <v>50</v>
      </c>
      <c r="B33" s="15">
        <f t="shared" si="0"/>
        <v>0</v>
      </c>
      <c r="C33" s="18"/>
      <c r="D33" s="15"/>
      <c r="E33" s="15"/>
      <c r="F33" s="15"/>
      <c r="G33" s="15"/>
    </row>
    <row r="34" spans="1:7" x14ac:dyDescent="0.55000000000000004">
      <c r="A34" s="15">
        <v>50</v>
      </c>
      <c r="B34" s="15">
        <f t="shared" si="0"/>
        <v>0</v>
      </c>
      <c r="C34" s="18"/>
      <c r="D34" s="15"/>
      <c r="E34" s="15"/>
      <c r="F34" s="15"/>
      <c r="G34" s="15"/>
    </row>
    <row r="35" spans="1:7" x14ac:dyDescent="0.55000000000000004">
      <c r="A35" s="15">
        <v>50</v>
      </c>
      <c r="B35" s="15">
        <f t="shared" si="0"/>
        <v>0</v>
      </c>
      <c r="C35" s="18"/>
      <c r="D35" s="15"/>
      <c r="E35" s="15"/>
      <c r="F35" s="15"/>
      <c r="G35" s="15"/>
    </row>
    <row r="36" spans="1:7" x14ac:dyDescent="0.55000000000000004">
      <c r="A36" s="15">
        <v>50</v>
      </c>
      <c r="B36" s="15">
        <f t="shared" si="0"/>
        <v>0</v>
      </c>
      <c r="C36" s="18"/>
      <c r="D36" s="15"/>
      <c r="E36" s="15"/>
      <c r="F36" s="15"/>
      <c r="G36" s="15"/>
    </row>
    <row r="37" spans="1:7" x14ac:dyDescent="0.55000000000000004">
      <c r="A37" s="10">
        <v>50</v>
      </c>
      <c r="B37" s="13">
        <f t="shared" si="0"/>
        <v>0</v>
      </c>
      <c r="C37" s="17"/>
      <c r="D37" s="14"/>
      <c r="E37" s="14"/>
      <c r="F37" s="14"/>
      <c r="G37" s="14"/>
    </row>
    <row r="38" spans="1:7" x14ac:dyDescent="0.55000000000000004">
      <c r="A38" s="10">
        <v>50</v>
      </c>
      <c r="B38" s="13">
        <f t="shared" si="0"/>
        <v>0</v>
      </c>
      <c r="C38" s="17"/>
      <c r="D38" s="14"/>
      <c r="E38" s="14"/>
      <c r="F38" s="14"/>
      <c r="G38" s="14"/>
    </row>
    <row r="39" spans="1:7" x14ac:dyDescent="0.55000000000000004">
      <c r="A39" s="10">
        <v>50</v>
      </c>
      <c r="B39" s="13">
        <f t="shared" si="0"/>
        <v>0</v>
      </c>
      <c r="C39" s="17"/>
      <c r="D39" s="14"/>
      <c r="E39" s="14"/>
      <c r="F39" s="14"/>
      <c r="G39" s="14"/>
    </row>
    <row r="40" spans="1:7" x14ac:dyDescent="0.55000000000000004">
      <c r="A40" s="10">
        <v>50</v>
      </c>
      <c r="B40" s="13">
        <f t="shared" si="0"/>
        <v>0</v>
      </c>
      <c r="C40" s="17"/>
      <c r="D40" s="14"/>
      <c r="E40" s="14"/>
      <c r="F40" s="14"/>
      <c r="G40" s="14"/>
    </row>
    <row r="41" spans="1:7" x14ac:dyDescent="0.55000000000000004">
      <c r="A41" s="15">
        <v>50</v>
      </c>
      <c r="B41" s="15">
        <f t="shared" si="0"/>
        <v>0</v>
      </c>
      <c r="C41" s="18"/>
      <c r="D41" s="15"/>
      <c r="E41" s="15"/>
      <c r="F41" s="15"/>
      <c r="G41" s="15"/>
    </row>
    <row r="42" spans="1:7" x14ac:dyDescent="0.55000000000000004">
      <c r="A42" s="15">
        <v>50</v>
      </c>
      <c r="B42" s="15">
        <f t="shared" si="0"/>
        <v>0</v>
      </c>
      <c r="C42" s="18"/>
      <c r="D42" s="15"/>
      <c r="E42" s="15"/>
      <c r="F42" s="15"/>
      <c r="G42" s="15"/>
    </row>
    <row r="43" spans="1:7" x14ac:dyDescent="0.55000000000000004">
      <c r="A43" s="15">
        <v>50</v>
      </c>
      <c r="B43" s="15">
        <f t="shared" si="0"/>
        <v>0</v>
      </c>
      <c r="C43" s="18"/>
      <c r="D43" s="15"/>
      <c r="E43" s="15"/>
      <c r="F43" s="15"/>
      <c r="G43" s="15"/>
    </row>
    <row r="44" spans="1:7" x14ac:dyDescent="0.55000000000000004">
      <c r="A44" s="15">
        <v>50</v>
      </c>
      <c r="B44" s="15">
        <f t="shared" si="0"/>
        <v>0</v>
      </c>
      <c r="C44" s="18"/>
      <c r="D44" s="15"/>
      <c r="E44" s="15"/>
      <c r="F44" s="15"/>
      <c r="G44" s="15"/>
    </row>
    <row r="45" spans="1:7" x14ac:dyDescent="0.55000000000000004">
      <c r="A45" s="10">
        <v>50</v>
      </c>
      <c r="B45" s="13">
        <f t="shared" si="0"/>
        <v>0</v>
      </c>
      <c r="C45" s="17"/>
      <c r="D45" s="14"/>
      <c r="E45" s="14"/>
      <c r="F45" s="14"/>
      <c r="G45" s="14"/>
    </row>
    <row r="46" spans="1:7" x14ac:dyDescent="0.55000000000000004">
      <c r="A46" s="10">
        <v>50</v>
      </c>
      <c r="B46" s="13">
        <f t="shared" si="0"/>
        <v>0</v>
      </c>
      <c r="C46" s="17"/>
      <c r="D46" s="14"/>
      <c r="E46" s="14"/>
      <c r="F46" s="14"/>
      <c r="G46" s="14"/>
    </row>
    <row r="47" spans="1:7" x14ac:dyDescent="0.55000000000000004">
      <c r="A47" s="10">
        <v>50</v>
      </c>
      <c r="B47" s="13">
        <f t="shared" si="0"/>
        <v>0</v>
      </c>
      <c r="C47" s="17"/>
      <c r="D47" s="14"/>
      <c r="E47" s="14"/>
      <c r="F47" s="14"/>
      <c r="G47" s="14"/>
    </row>
    <row r="48" spans="1:7" x14ac:dyDescent="0.55000000000000004">
      <c r="A48" s="10">
        <v>50</v>
      </c>
      <c r="B48" s="13">
        <f t="shared" si="0"/>
        <v>0</v>
      </c>
      <c r="C48" s="17"/>
      <c r="D48" s="14"/>
      <c r="E48" s="14"/>
      <c r="F48" s="14"/>
      <c r="G48" s="14"/>
    </row>
    <row r="49" spans="1:7" x14ac:dyDescent="0.55000000000000004">
      <c r="A49" s="15">
        <v>50</v>
      </c>
      <c r="B49" s="15">
        <f t="shared" si="0"/>
        <v>0</v>
      </c>
      <c r="C49" s="18"/>
      <c r="D49" s="15"/>
      <c r="E49" s="15"/>
      <c r="F49" s="15"/>
      <c r="G49" s="15"/>
    </row>
    <row r="50" spans="1:7" x14ac:dyDescent="0.55000000000000004">
      <c r="A50" s="15">
        <v>50</v>
      </c>
      <c r="B50" s="15">
        <f t="shared" si="0"/>
        <v>0</v>
      </c>
      <c r="C50" s="18"/>
      <c r="D50" s="15"/>
      <c r="E50" s="15"/>
      <c r="F50" s="15"/>
      <c r="G50" s="15"/>
    </row>
    <row r="51" spans="1:7" x14ac:dyDescent="0.55000000000000004">
      <c r="A51" s="15">
        <v>50</v>
      </c>
      <c r="B51" s="15">
        <f t="shared" si="0"/>
        <v>0</v>
      </c>
      <c r="C51" s="18"/>
      <c r="D51" s="15"/>
      <c r="E51" s="15"/>
      <c r="F51" s="15"/>
      <c r="G51" s="15"/>
    </row>
    <row r="52" spans="1:7" x14ac:dyDescent="0.55000000000000004">
      <c r="A52" s="15">
        <v>50</v>
      </c>
      <c r="B52" s="15">
        <f t="shared" si="0"/>
        <v>0</v>
      </c>
      <c r="C52" s="18"/>
      <c r="D52" s="15"/>
      <c r="E52" s="15"/>
      <c r="F52" s="15"/>
      <c r="G52" s="15"/>
    </row>
    <row r="53" spans="1:7" x14ac:dyDescent="0.55000000000000004">
      <c r="A53" s="10">
        <v>50</v>
      </c>
      <c r="B53" s="13">
        <f t="shared" si="0"/>
        <v>0</v>
      </c>
      <c r="C53" s="17"/>
      <c r="D53" s="14"/>
      <c r="E53" s="14"/>
      <c r="F53" s="14"/>
      <c r="G53" s="14"/>
    </row>
    <row r="54" spans="1:7" x14ac:dyDescent="0.55000000000000004">
      <c r="A54" s="10">
        <v>50</v>
      </c>
      <c r="B54" s="13">
        <f t="shared" si="0"/>
        <v>0</v>
      </c>
      <c r="C54" s="17"/>
      <c r="D54" s="14"/>
      <c r="E54" s="14"/>
      <c r="F54" s="14"/>
      <c r="G54" s="14"/>
    </row>
    <row r="55" spans="1:7" x14ac:dyDescent="0.55000000000000004">
      <c r="A55" s="10">
        <v>50</v>
      </c>
      <c r="B55" s="13">
        <f t="shared" si="0"/>
        <v>0</v>
      </c>
      <c r="C55" s="17"/>
      <c r="D55" s="14"/>
      <c r="E55" s="14"/>
      <c r="F55" s="14"/>
      <c r="G55" s="14"/>
    </row>
    <row r="56" spans="1:7" x14ac:dyDescent="0.55000000000000004">
      <c r="A56" s="10">
        <v>50</v>
      </c>
      <c r="B56" s="13">
        <f t="shared" si="0"/>
        <v>0</v>
      </c>
      <c r="C56" s="17"/>
      <c r="D56" s="14"/>
      <c r="E56" s="14"/>
      <c r="F56" s="14"/>
      <c r="G56" s="14"/>
    </row>
    <row r="57" spans="1:7" x14ac:dyDescent="0.55000000000000004">
      <c r="A57" s="15">
        <v>50</v>
      </c>
      <c r="B57" s="15">
        <f t="shared" si="0"/>
        <v>0</v>
      </c>
      <c r="C57" s="18"/>
      <c r="D57" s="15"/>
      <c r="E57" s="15"/>
      <c r="F57" s="15"/>
      <c r="G57" s="15"/>
    </row>
    <row r="58" spans="1:7" x14ac:dyDescent="0.55000000000000004">
      <c r="A58" s="15">
        <v>50</v>
      </c>
      <c r="B58" s="15">
        <f t="shared" si="0"/>
        <v>0</v>
      </c>
      <c r="C58" s="18"/>
      <c r="D58" s="15"/>
      <c r="E58" s="15"/>
      <c r="F58" s="15"/>
      <c r="G58" s="15"/>
    </row>
    <row r="59" spans="1:7" x14ac:dyDescent="0.55000000000000004">
      <c r="A59" s="15">
        <v>50</v>
      </c>
      <c r="B59" s="15">
        <f t="shared" si="0"/>
        <v>0</v>
      </c>
      <c r="C59" s="18"/>
      <c r="D59" s="15"/>
      <c r="E59" s="15"/>
      <c r="F59" s="15"/>
      <c r="G59" s="15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TOTAL</vt:lpstr>
      <vt:lpstr>ヨンマ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Shiota Kuniyuki</dc:creator>
  <cp:lastModifiedBy>Shiota Kuniyuki</cp:lastModifiedBy>
  <dcterms:created xsi:type="dcterms:W3CDTF">2024-05-25T06:09:29Z</dcterms:created>
  <dcterms:modified xsi:type="dcterms:W3CDTF">2024-05-25T06:10:18Z</dcterms:modified>
</cp:coreProperties>
</file>